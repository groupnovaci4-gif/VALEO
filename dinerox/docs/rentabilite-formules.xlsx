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Hypothèses" sheetId="2" state="visible" r:id="rId2"/>
    <sheet name="Afrique" sheetId="3" state="visible" r:id="rId3"/>
    <sheet name="Europe" sheetId="4" state="visible" r:id="rId4"/>
    <sheet name="Seuil Pr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%;(0.0%);&quot;-&quot;"/>
    <numFmt numFmtId="166" formatCode="#,##0&quot; F&quot;;(#,##0&quot; F&quot;);&quot;-&quot;"/>
    <numFmt numFmtId="167" formatCode="#,##0.00&quot; €&quot;;(#,##0.00&quot; €&quot;);&quot;-&quot;"/>
    <numFmt numFmtId="168" formatCode="#,##0;(#,##0)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b val="1"/>
      <color rgb="00FFFFFF"/>
    </font>
    <font>
      <name val="Arial"/>
      <color rgb="00008000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0B6B61"/>
      </patternFill>
    </fill>
    <fill>
      <patternFill patternType="solid">
        <fgColor rgb="00D3EFE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1" pivotButton="0" quotePrefix="0" xfId="0"/>
    <xf numFmtId="165" fontId="4" fillId="2" borderId="1" pivotButton="0" quotePrefix="0" xfId="0"/>
    <xf numFmtId="166" fontId="4" fillId="2" borderId="1" pivotButton="0" quotePrefix="0" xfId="0"/>
    <xf numFmtId="167" fontId="4" fillId="2" borderId="1" pivotButton="0" quotePrefix="0" xfId="0"/>
    <xf numFmtId="167" fontId="3" fillId="0" borderId="1" pivotButton="0" quotePrefix="0" xfId="0"/>
    <xf numFmtId="168" fontId="4" fillId="2" borderId="1" pivotButton="0" quotePrefix="0" xfId="0"/>
    <xf numFmtId="0" fontId="5" fillId="3" borderId="0" pivotButton="0" quotePrefix="0" xfId="0"/>
    <xf numFmtId="168" fontId="4" fillId="2" borderId="0" pivotButton="0" quotePrefix="0" xfId="0"/>
    <xf numFmtId="168" fontId="7" fillId="0" borderId="0" pivotButton="0" quotePrefix="0" xfId="0"/>
    <xf numFmtId="168" fontId="2" fillId="4" borderId="0" pivotButton="0" quotePrefix="0" xfId="0"/>
    <xf numFmtId="0" fontId="5" fillId="3" borderId="0" applyAlignment="1" pivotButton="0" quotePrefix="0" xfId="0">
      <alignment horizontal="center"/>
    </xf>
    <xf numFmtId="168" fontId="6" fillId="0" borderId="1" pivotButton="0" quotePrefix="0" xfId="0"/>
    <xf numFmtId="168" fontId="7" fillId="0" borderId="1" pivotButton="0" quotePrefix="0" xfId="0"/>
    <xf numFmtId="166" fontId="6" fillId="0" borderId="1" pivotButton="0" quotePrefix="0" xfId="0"/>
    <xf numFmtId="166" fontId="7" fillId="0" borderId="1" pivotButton="0" quotePrefix="0" xfId="0"/>
    <xf numFmtId="166" fontId="2" fillId="4" borderId="1" pivotButton="0" quotePrefix="0" xfId="0"/>
    <xf numFmtId="165" fontId="7" fillId="0" borderId="1" pivotButton="0" quotePrefix="0" xfId="0"/>
    <xf numFmtId="167" fontId="6" fillId="0" borderId="1" pivotButton="0" quotePrefix="0" xfId="0"/>
    <xf numFmtId="167" fontId="7" fillId="0" borderId="1" pivotButton="0" quotePrefix="0" xfId="0"/>
    <xf numFmtId="167" fontId="2" fillId="4" borderId="1" pivotButton="0" quotePrefix="0" xfId="0"/>
    <xf numFmtId="165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Conseiller</author>
  </authors>
  <commentList>
    <comment ref="B4" authorId="0" shapeId="0">
      <text>
        <t>Parité fixe F CFA / euro (BCEAO).</t>
      </text>
    </comment>
    <comment ref="B5" authorId="0" shapeId="0">
      <text>
        <t>Google Play : 15 % sur les abonnements (règle en vigueur depuis 2022).</t>
      </text>
    </comment>
    <comment ref="B8" authorId="0" shapeId="0">
      <text>
        <t>Décision du fondateur, 18/10/2026.</t>
      </text>
    </comment>
    <comment ref="B9" authorId="0" shapeId="0">
      <text>
        <t>Décision du fondateur, 18/10/2026.</t>
      </text>
    </comment>
    <comment ref="B10" authorId="0" shapeId="0">
      <text>
        <t>Décision du fondateur, 18/10/2026.</t>
      </text>
    </comment>
    <comment ref="B11" authorId="0" shapeId="0">
      <text>
        <t>Hypothèse prudente (TVA de 18 %). À confirmer avec un comptable : mettre 0 % si elle ne s'applique pas.</t>
      </text>
    </comment>
    <comment ref="B12" authorId="0" shapeId="0">
      <text>
        <t>Estimation : frais marchands Mobile Money autour de 1 à 2 %.</t>
      </text>
    </comment>
    <comment ref="B13" authorId="0" shapeId="0">
      <text>
        <t>Estimation : facture, encaissement, assistance.</t>
      </text>
    </comment>
    <comment ref="B14" authorId="0" shapeId="0">
      <text>
        <t>Estimation à remplacer par la facture Firebase / nombre d'actifs.</t>
      </text>
    </comment>
    <comment ref="B15" authorId="0" shapeId="0">
      <text>
        <t>Estimation : saisies vocales intelligentes (Claude). À remplacer par la facture.</t>
      </text>
    </comment>
    <comment ref="B16" authorId="0" shapeId="0">
      <text>
        <t>Hypothèse la plus incertaine. Mettre 0 si le coach utilise la voix gratuite du téléphone.</t>
      </text>
    </comment>
    <comment ref="B19" authorId="0" shapeId="0">
      <text>
        <t>Décision du fondateur, 18/10/2026.</t>
      </text>
    </comment>
    <comment ref="B20" authorId="0" shapeId="0">
      <text>
        <t>Décision du fondateur, 18/10/2026.</t>
      </text>
    </comment>
    <comment ref="B21" authorId="0" shapeId="0">
      <text>
        <t>Décision du fondateur, 18/10/2026.</t>
      </text>
    </comment>
    <comment ref="B22" authorId="0" shapeId="0">
      <text>
        <t>TVA de 20 % (France). Elle varie selon le pays européen (17 à 27 %).</t>
      </text>
    </comment>
    <comment ref="B23" authorId="0" shapeId="0">
      <text>
        <t>Estimation : prélèvement SEPA, environ 0,5 %.</t>
      </text>
    </comment>
    <comment ref="B24" authorId="0" shapeId="0">
      <text>
        <t>Estimation : facture, encaissement, assistance.</t>
      </text>
    </comment>
    <comment ref="B25" authorId="0" shapeId="0">
      <text>
        <t>Calculé : mêmes coûts qu'en Afrique, convertis en euros (Firebase, IA et voix se paient en dollars partout).</t>
      </text>
    </comment>
    <comment ref="B28" authorId="0" shapeId="0">
      <text>
        <t>Base de calcul demandée par le fondateur : 1 000 utilisateurs actifs.</t>
      </text>
    </comment>
    <comment ref="B29" authorId="0" shapeId="0">
      <text>
        <t>1 000 personnes, réparties en familles.</t>
      </text>
    </comment>
    <comment ref="B30" authorId="0" shapeId="0">
      <text>
        <t>Hypothèse : 3 membres actifs par famille (la formule en permet jusqu'à 8).</t>
      </text>
    </comment>
    <comment ref="B33" authorId="0" shapeId="0">
      <text>
        <t>Décision du fondateur, 18/10/2026 : à partir de 5 employés.</t>
      </text>
    </comment>
    <comment ref="A35" authorId="0" shapeId="0">
      <text>
        <t>Exemple de répartition : 40 entreprises de 5, 40 de 10 et 20 de 20 = 1 000 employés.</t>
      </text>
    </comment>
  </commentList>
</comments>
</file>

<file path=xl/comments/comment2.xml><?xml version="1.0" encoding="utf-8"?>
<comments xmlns="http://schemas.openxmlformats.org/spreadsheetml/2006/main">
  <authors>
    <author>Conseiller</author>
  </authors>
  <commentList>
    <comment ref="B5" authorId="0" shapeId="0">
      <text>
        <t>Exemple : 40 entreprises de 10 + 20 de 30 = 1 000 employés.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Rentabilité DineroX par formule et par territoire</t>
        </is>
      </c>
    </row>
    <row r="2">
      <c r="A2" s="2" t="inlineStr"/>
    </row>
    <row r="3">
      <c r="A3" s="3" t="inlineStr">
        <is>
          <t>Comment s'en servir</t>
        </is>
      </c>
    </row>
    <row r="4">
      <c r="A4" s="4" t="inlineStr">
        <is>
          <t>1. Changez seulement les cellules en bleu sur fond jaune, dans l'onglet « Hypothèses ».</t>
        </is>
      </c>
    </row>
    <row r="5">
      <c r="A5" s="4" t="inlineStr">
        <is>
          <t>2. Les onglets « Afrique », « Europe » et « Seuil Pro » se recalculent tout seuls.</t>
        </is>
      </c>
    </row>
    <row r="6">
      <c r="A6" s="4" t="inlineStr">
        <is>
          <t>3. Textes en noir = calculs (ne pas modifier). Textes en vert = valeur reprise d'un autre onglet.</t>
        </is>
      </c>
    </row>
    <row r="7">
      <c r="A7" s="2" t="inlineStr"/>
    </row>
    <row r="8">
      <c r="A8" s="3" t="inlineStr">
        <is>
          <t>Ce que le tableur calcule</t>
        </is>
      </c>
    </row>
    <row r="9">
      <c r="A9" s="4" t="inlineStr">
        <is>
          <t>Pour chaque formule : ce que paient les clients, moins la TVA, moins la commission Google (15 %),</t>
        </is>
      </c>
    </row>
    <row r="10">
      <c r="A10" s="4" t="inlineStr">
        <is>
          <t>moins les frais de paiement, moins les coûts techniques par personne active = la marge de DineroX.</t>
        </is>
      </c>
    </row>
    <row r="11">
      <c r="A11" s="4" t="inlineStr">
        <is>
          <t>La formule Pro est facturée directement à l'entreprise : ni commission Google, ni TVA prise sur le prix</t>
        </is>
      </c>
    </row>
    <row r="12">
      <c r="A12" s="4" t="inlineStr">
        <is>
          <t>(la TVA s'ajoute à la facture et l'entreprise la récupère).</t>
        </is>
      </c>
    </row>
    <row r="13">
      <c r="A13" s="2" t="inlineStr"/>
    </row>
    <row r="14">
      <c r="A14" s="3" t="inlineStr">
        <is>
          <t>Ce que le tableur ne compte pas</t>
        </is>
      </c>
    </row>
    <row r="15">
      <c r="A15" s="4" t="inlineStr">
        <is>
          <t>Les coûts fixes : salaires, publicité, socle Firebase, domaine, comptable. Les marges servent à les payer.</t>
        </is>
      </c>
    </row>
    <row r="16">
      <c r="A16" s="2" t="inlineStr"/>
    </row>
    <row r="17">
      <c r="A17" s="3" t="inlineStr">
        <is>
          <t>Hypothèses à vérifier en priorité</t>
        </is>
      </c>
    </row>
    <row r="18">
      <c r="A18" s="4" t="inlineStr">
        <is>
          <t>• Coût de la voix ElevenLabs par personne : c'est la plus incertaine (à lire sur les factures).</t>
        </is>
      </c>
    </row>
    <row r="19">
      <c r="A19" s="4" t="inlineStr">
        <is>
          <t>• TVA en Afrique sur les ventes Google Play : 18 % par prudence, à confirmer avec un comptable.</t>
        </is>
      </c>
    </row>
    <row r="20">
      <c r="A20" s="4" t="inlineStr">
        <is>
          <t>• Nombre de personnes actives par abonnement Famille (3 par défaut).</t>
        </is>
      </c>
    </row>
    <row r="21">
      <c r="A21" s="2" t="inlineStr"/>
    </row>
    <row r="22">
      <c r="A22" s="4" t="inlineStr">
        <is>
          <t>Décisions du fondateur (18 octobre 2026) : Plus 2 000 F / 9,99 € ; Famille 3 500 F / 14,99 € ;</t>
        </is>
      </c>
    </row>
    <row r="23">
      <c r="A23" s="4" t="inlineStr">
        <is>
          <t>Pro 2 000 F / 7,99 € par employé et par mois, à partir de 5 employés (minimum facturé : 5 places).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66" customWidth="1" min="1" max="1"/>
    <col width="22" customWidth="1" min="2" max="2"/>
    <col width="14" customWidth="1" min="3" max="3"/>
  </cols>
  <sheetData>
    <row r="1">
      <c r="A1" s="1" t="inlineStr">
        <is>
          <t>Hypothèses (cellules bleues sur fond jaune : à modifier)</t>
        </is>
      </c>
      <c r="B1" s="2" t="n"/>
      <c r="C1" s="2" t="n"/>
    </row>
    <row r="2">
      <c r="A2" s="2" t="n"/>
      <c r="B2" s="2" t="n"/>
      <c r="C2" s="2" t="n"/>
    </row>
    <row r="3">
      <c r="A3" s="3" t="inlineStr">
        <is>
          <t>Général</t>
        </is>
      </c>
      <c r="B3" s="2" t="n"/>
      <c r="C3" s="2" t="n"/>
    </row>
    <row r="4">
      <c r="A4" s="4" t="inlineStr">
        <is>
          <t>Taux de change : 1 € en F CFA</t>
        </is>
      </c>
      <c r="B4" s="5" t="n">
        <v>655.957</v>
      </c>
      <c r="C4" s="2" t="n"/>
    </row>
    <row r="5">
      <c r="A5" s="4" t="inlineStr">
        <is>
          <t>Commission Google Play sur un abonnement</t>
        </is>
      </c>
      <c r="B5" s="6" t="n">
        <v>0.15</v>
      </c>
      <c r="C5" s="2" t="n"/>
    </row>
    <row r="6">
      <c r="A6" s="2" t="n"/>
      <c r="B6" s="2" t="n"/>
      <c r="C6" s="2" t="n"/>
    </row>
    <row r="7">
      <c r="A7" s="3" t="inlineStr">
        <is>
          <t>Afrique</t>
        </is>
      </c>
      <c r="B7" s="2" t="n"/>
      <c r="C7" s="2" t="n"/>
    </row>
    <row r="8">
      <c r="A8" s="4" t="inlineStr">
        <is>
          <t>Prix Plus (F CFA / mois)</t>
        </is>
      </c>
      <c r="B8" s="7" t="n">
        <v>2000</v>
      </c>
      <c r="C8" s="2" t="n"/>
    </row>
    <row r="9">
      <c r="A9" s="4" t="inlineStr">
        <is>
          <t>Prix Famille (F CFA / mois)</t>
        </is>
      </c>
      <c r="B9" s="7" t="n">
        <v>3500</v>
      </c>
      <c r="C9" s="2" t="n"/>
    </row>
    <row r="10">
      <c r="A10" s="4" t="inlineStr">
        <is>
          <t>Prix Pro (F CFA / employé / mois, hors TVA)</t>
        </is>
      </c>
      <c r="B10" s="7" t="n">
        <v>2000</v>
      </c>
      <c r="C10" s="2" t="n"/>
    </row>
    <row r="11">
      <c r="A11" s="4" t="inlineStr">
        <is>
          <t>TVA incluse dans le prix Google Play</t>
        </is>
      </c>
      <c r="B11" s="6" t="n">
        <v>0.18</v>
      </c>
      <c r="C11" s="2" t="n"/>
    </row>
    <row r="12">
      <c r="A12" s="4" t="inlineStr">
        <is>
          <t>Frais de paiement Pro (Mobile Money, virement)</t>
        </is>
      </c>
      <c r="B12" s="6" t="n">
        <v>0.015</v>
      </c>
      <c r="C12" s="2" t="n"/>
    </row>
    <row r="13">
      <c r="A13" s="4" t="inlineStr">
        <is>
          <t>Coût de gestion par entreprise Pro (F CFA / mois)</t>
        </is>
      </c>
      <c r="B13" s="7" t="n">
        <v>2000</v>
      </c>
      <c r="C13" s="2" t="n"/>
    </row>
    <row r="14">
      <c r="A14" s="4" t="inlineStr">
        <is>
          <t>Coût Firebase par personne active (F CFA / mois)</t>
        </is>
      </c>
      <c r="B14" s="7" t="n">
        <v>30</v>
      </c>
      <c r="C14" s="2" t="n"/>
    </row>
    <row r="15">
      <c r="A15" s="4" t="inlineStr">
        <is>
          <t>Coût intelligence artificielle par personne active (F CFA / mois)</t>
        </is>
      </c>
      <c r="B15" s="7" t="n">
        <v>60</v>
      </c>
      <c r="C15" s="2" t="n"/>
    </row>
    <row r="16">
      <c r="A16" s="4" t="inlineStr">
        <is>
          <t>Coût voix ElevenLabs par personne active (F CFA / mois)</t>
        </is>
      </c>
      <c r="B16" s="7" t="n">
        <v>400</v>
      </c>
      <c r="C16" s="2" t="n"/>
    </row>
    <row r="17">
      <c r="A17" s="2" t="n"/>
      <c r="B17" s="2" t="n"/>
      <c r="C17" s="2" t="n"/>
    </row>
    <row r="18">
      <c r="A18" s="3" t="inlineStr">
        <is>
          <t>Europe</t>
        </is>
      </c>
      <c r="B18" s="2" t="n"/>
      <c r="C18" s="2" t="n"/>
    </row>
    <row r="19">
      <c r="A19" s="4" t="inlineStr">
        <is>
          <t>Prix Plus (€ / mois)</t>
        </is>
      </c>
      <c r="B19" s="8" t="n">
        <v>9.99</v>
      </c>
      <c r="C19" s="2" t="n"/>
    </row>
    <row r="20">
      <c r="A20" s="4" t="inlineStr">
        <is>
          <t>Prix Famille (€ / mois)</t>
        </is>
      </c>
      <c r="B20" s="8" t="n">
        <v>14.99</v>
      </c>
      <c r="C20" s="2" t="n"/>
    </row>
    <row r="21">
      <c r="A21" s="4" t="inlineStr">
        <is>
          <t>Prix Pro (€ / employé / mois, hors TVA)</t>
        </is>
      </c>
      <c r="B21" s="8" t="n">
        <v>7.99</v>
      </c>
      <c r="C21" s="2" t="n"/>
    </row>
    <row r="22">
      <c r="A22" s="4" t="inlineStr">
        <is>
          <t>TVA incluse dans le prix Google Play</t>
        </is>
      </c>
      <c r="B22" s="6" t="n">
        <v>0.2</v>
      </c>
      <c r="C22" s="2" t="n"/>
    </row>
    <row r="23">
      <c r="A23" s="4" t="inlineStr">
        <is>
          <t>Frais de paiement Pro (virement, prélèvement)</t>
        </is>
      </c>
      <c r="B23" s="6" t="n">
        <v>0.005</v>
      </c>
      <c r="C23" s="2" t="n"/>
    </row>
    <row r="24">
      <c r="A24" s="4" t="inlineStr">
        <is>
          <t>Coût de gestion par entreprise Pro (€ / mois)</t>
        </is>
      </c>
      <c r="B24" s="8" t="n">
        <v>3</v>
      </c>
      <c r="C24" s="2" t="n"/>
    </row>
    <row r="25">
      <c r="A25" s="4" t="inlineStr">
        <is>
          <t>Coûts techniques par personne active (€ / mois)</t>
        </is>
      </c>
      <c r="B25" s="9">
        <f>(B14+B15+B16)/B4</f>
        <v/>
      </c>
      <c r="C25" s="2" t="n"/>
    </row>
    <row r="26">
      <c r="A26" s="2" t="n"/>
      <c r="B26" s="2" t="n"/>
      <c r="C26" s="2" t="n"/>
    </row>
    <row r="27">
      <c r="A27" s="3" t="inlineStr">
        <is>
          <t>Utilisateurs</t>
        </is>
      </c>
      <c r="B27" s="2" t="n"/>
      <c r="C27" s="2" t="n"/>
    </row>
    <row r="28">
      <c r="A28" s="4" t="inlineStr">
        <is>
          <t>Personnes actives Plus</t>
        </is>
      </c>
      <c r="B28" s="10" t="n">
        <v>1000</v>
      </c>
      <c r="C28" s="2" t="n"/>
    </row>
    <row r="29">
      <c r="A29" s="4" t="inlineStr">
        <is>
          <t>Personnes actives Famille</t>
        </is>
      </c>
      <c r="B29" s="10" t="n">
        <v>1000</v>
      </c>
      <c r="C29" s="2" t="n"/>
    </row>
    <row r="30">
      <c r="A30" s="4" t="inlineStr">
        <is>
          <t>Personnes actives par abonnement Famille</t>
        </is>
      </c>
      <c r="B30" s="10" t="n">
        <v>3</v>
      </c>
      <c r="C30" s="2" t="n"/>
    </row>
    <row r="31">
      <c r="A31" s="2" t="n"/>
      <c r="B31" s="2" t="n"/>
      <c r="C31" s="2" t="n"/>
    </row>
    <row r="32">
      <c r="A32" s="3" t="inlineStr">
        <is>
          <t>Formule Pro : entreprises clientes (même répartition en Afrique et en Europe)</t>
        </is>
      </c>
      <c r="B32" s="2" t="n"/>
      <c r="C32" s="2" t="n"/>
    </row>
    <row r="33">
      <c r="A33" s="4" t="inlineStr">
        <is>
          <t>Seuil : employés minimum pour la formule Pro</t>
        </is>
      </c>
      <c r="B33" s="10" t="n">
        <v>5</v>
      </c>
      <c r="C33" s="2" t="n"/>
    </row>
    <row r="34">
      <c r="A34" s="11" t="inlineStr">
        <is>
          <t>Taille de l'entreprise (employés)</t>
        </is>
      </c>
      <c r="B34" s="11" t="inlineStr">
        <is>
          <t>Nombre d'entreprises</t>
        </is>
      </c>
      <c r="C34" s="11" t="inlineStr">
        <is>
          <t>Employés</t>
        </is>
      </c>
    </row>
    <row r="35">
      <c r="A35" s="12" t="n">
        <v>5</v>
      </c>
      <c r="B35" s="12" t="n">
        <v>40</v>
      </c>
      <c r="C35" s="13">
        <f>A35*B35</f>
        <v/>
      </c>
    </row>
    <row r="36">
      <c r="A36" s="12" t="n">
        <v>10</v>
      </c>
      <c r="B36" s="12" t="n">
        <v>40</v>
      </c>
      <c r="C36" s="13">
        <f>A36*B36</f>
        <v/>
      </c>
    </row>
    <row r="37">
      <c r="A37" s="12" t="n">
        <v>20</v>
      </c>
      <c r="B37" s="12" t="n">
        <v>20</v>
      </c>
      <c r="C37" s="13">
        <f>A37*B37</f>
        <v/>
      </c>
    </row>
    <row r="38">
      <c r="A38" s="3" t="inlineStr">
        <is>
          <t>Total</t>
        </is>
      </c>
      <c r="B38" s="14">
        <f>SUM(B35:B37)</f>
        <v/>
      </c>
      <c r="C38" s="14">
        <f>SUM(C35:C37)</f>
        <v/>
      </c>
    </row>
    <row r="39">
      <c r="A39" s="2" t="inlineStr">
        <is>
          <t>Contrôle du seuil</t>
        </is>
      </c>
      <c r="B39" s="2">
        <f>IF(MIN(A35:A37)&gt;=B33,"OK : toutes les tailles respectent le seuil","Attention : une taille est sous le seuil")</f>
        <v/>
      </c>
      <c r="C39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Afrique : marge pour DineroX, par mois (montants en F CFA)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15" t="inlineStr"/>
      <c r="B3" s="15" t="inlineStr">
        <is>
          <t>Plus</t>
        </is>
      </c>
      <c r="C3" s="15" t="inlineStr">
        <is>
          <t>Famille</t>
        </is>
      </c>
      <c r="D3" s="15" t="inlineStr">
        <is>
          <t>Pro</t>
        </is>
      </c>
    </row>
    <row r="4">
      <c r="A4" s="4" t="inlineStr">
        <is>
          <t>Personnes actives</t>
        </is>
      </c>
      <c r="B4" s="16">
        <f>Hypothèses!$B$28</f>
        <v/>
      </c>
      <c r="C4" s="16">
        <f>Hypothèses!$B$29</f>
        <v/>
      </c>
      <c r="D4" s="16">
        <f>Hypothèses!$C$38</f>
        <v/>
      </c>
    </row>
    <row r="5">
      <c r="A5" s="4" t="inlineStr">
        <is>
          <t>Abonnements (Pro : places payées)</t>
        </is>
      </c>
      <c r="B5" s="17">
        <f>B4</f>
        <v/>
      </c>
      <c r="C5" s="17">
        <f>ROUNDUP(C4/Hypothèses!$B$30,0)</f>
        <v/>
      </c>
      <c r="D5" s="17">
        <f>D4</f>
        <v/>
      </c>
    </row>
    <row r="6">
      <c r="A6" s="4" t="inlineStr">
        <is>
          <t>Entreprises clientes (Pro)</t>
        </is>
      </c>
      <c r="B6" s="17" t="n">
        <v>0</v>
      </c>
      <c r="C6" s="17" t="n">
        <v>0</v>
      </c>
      <c r="D6" s="16">
        <f>Hypothèses!$B$38</f>
        <v/>
      </c>
    </row>
    <row r="7">
      <c r="A7" s="4" t="inlineStr">
        <is>
          <t>Prix par abonnement ou par place</t>
        </is>
      </c>
      <c r="B7" s="18">
        <f>Hypothèses!$B$8</f>
        <v/>
      </c>
      <c r="C7" s="18">
        <f>Hypothèses!$B$9</f>
        <v/>
      </c>
      <c r="D7" s="18">
        <f>Hypothèses!$B$10</f>
        <v/>
      </c>
    </row>
    <row r="8">
      <c r="A8" s="4" t="inlineStr">
        <is>
          <t>Encaissé auprès des clients</t>
        </is>
      </c>
      <c r="B8" s="19">
        <f>B5*B7</f>
        <v/>
      </c>
      <c r="C8" s="19">
        <f>C5*C7</f>
        <v/>
      </c>
      <c r="D8" s="19">
        <f>D5*D7</f>
        <v/>
      </c>
    </row>
    <row r="9">
      <c r="A9" s="4" t="inlineStr">
        <is>
          <t>− TVA comprise dans le prix</t>
        </is>
      </c>
      <c r="B9" s="19">
        <f>B8-B8/(1+Hypothèses!$B$11)</f>
        <v/>
      </c>
      <c r="C9" s="19">
        <f>C8-C8/(1+Hypothèses!$B$11)</f>
        <v/>
      </c>
      <c r="D9" s="19" t="n">
        <v>0</v>
      </c>
    </row>
    <row r="10">
      <c r="A10" s="4" t="inlineStr">
        <is>
          <t>− Commission Google (15 %)</t>
        </is>
      </c>
      <c r="B10" s="19">
        <f>(B8-B9)*Hypothèses!$B$5</f>
        <v/>
      </c>
      <c r="C10" s="19">
        <f>(C8-C9)*Hypothèses!$B$5</f>
        <v/>
      </c>
      <c r="D10" s="19" t="n">
        <v>0</v>
      </c>
    </row>
    <row r="11">
      <c r="A11" s="4" t="inlineStr">
        <is>
          <t>− Frais de paiement</t>
        </is>
      </c>
      <c r="B11" s="19" t="n">
        <v>0</v>
      </c>
      <c r="C11" s="19" t="n">
        <v>0</v>
      </c>
      <c r="D11" s="19">
        <f>D8*Hypothèses!$B$12</f>
        <v/>
      </c>
    </row>
    <row r="12">
      <c r="A12" s="3">
        <f> Reçu par DineroX</f>
        <v/>
      </c>
      <c r="B12" s="20">
        <f>B8-B9-B10-B11</f>
        <v/>
      </c>
      <c r="C12" s="20">
        <f>C8-C9-C10-C11</f>
        <v/>
      </c>
      <c r="D12" s="20">
        <f>D8-D9-D10-D11</f>
        <v/>
      </c>
    </row>
    <row r="13">
      <c r="A13" s="4" t="inlineStr">
        <is>
          <t>− Coûts techniques (personnes actives)</t>
        </is>
      </c>
      <c r="B13" s="19">
        <f>B4*(Hypothèses!$B$14+Hypothèses!$B$15+Hypothèses!$B$16)</f>
        <v/>
      </c>
      <c r="C13" s="19">
        <f>C4*(Hypothèses!$B$14+Hypothèses!$B$15+Hypothèses!$B$16)</f>
        <v/>
      </c>
      <c r="D13" s="19">
        <f>D4*(Hypothèses!$B$14+Hypothèses!$B$15+Hypothèses!$B$16)</f>
        <v/>
      </c>
    </row>
    <row r="14">
      <c r="A14" s="4" t="inlineStr">
        <is>
          <t>− Coût de gestion des entreprises (Pro)</t>
        </is>
      </c>
      <c r="B14" s="19" t="n">
        <v>0</v>
      </c>
      <c r="C14" s="19" t="n">
        <v>0</v>
      </c>
      <c r="D14" s="19">
        <f>D6*Hypothèses!$B$13</f>
        <v/>
      </c>
    </row>
    <row r="15">
      <c r="A15" s="3">
        <f> Marge par mois</f>
        <v/>
      </c>
      <c r="B15" s="20">
        <f>B12-B13-B14</f>
        <v/>
      </c>
      <c r="C15" s="20">
        <f>C12-C13-C14</f>
        <v/>
      </c>
      <c r="D15" s="20">
        <f>D12-D13-D14</f>
        <v/>
      </c>
    </row>
    <row r="16">
      <c r="A16" s="4" t="inlineStr">
        <is>
          <t>Marge par abonnement ou par place</t>
        </is>
      </c>
      <c r="B16" s="19">
        <f>IF(B5=0,0,B15/B5)</f>
        <v/>
      </c>
      <c r="C16" s="19">
        <f>IF(C5=0,0,C15/C5)</f>
        <v/>
      </c>
      <c r="D16" s="19">
        <f>IF(D5=0,0,D15/D5)</f>
        <v/>
      </c>
    </row>
    <row r="17">
      <c r="A17" s="4" t="inlineStr">
        <is>
          <t>Marge par personne active</t>
        </is>
      </c>
      <c r="B17" s="19">
        <f>IF(B4=0,0,B15/B4)</f>
        <v/>
      </c>
      <c r="C17" s="19">
        <f>IF(C4=0,0,C15/C4)</f>
        <v/>
      </c>
      <c r="D17" s="19">
        <f>IF(D4=0,0,D15/D4)</f>
        <v/>
      </c>
    </row>
    <row r="18">
      <c r="A18" s="4" t="inlineStr">
        <is>
          <t>Part de l'encaissé qui reste en marge</t>
        </is>
      </c>
      <c r="B18" s="21">
        <f>IF(B8=0,0,B15/B8)</f>
        <v/>
      </c>
      <c r="C18" s="21">
        <f>IF(C8=0,0,C15/C8)</f>
        <v/>
      </c>
      <c r="D18" s="21">
        <f>IF(D8=0,0,D15/D8)</f>
        <v/>
      </c>
    </row>
    <row r="19">
      <c r="A19" s="3">
        <f> Marge sur un an</f>
        <v/>
      </c>
      <c r="B19" s="20">
        <f>B15*12</f>
        <v/>
      </c>
      <c r="C19" s="20">
        <f>C15*12</f>
        <v/>
      </c>
      <c r="D19" s="20">
        <f>D15*12</f>
        <v/>
      </c>
    </row>
    <row r="20">
      <c r="A20" s="2" t="n"/>
      <c r="B20" s="2" t="n"/>
      <c r="C20" s="2" t="n"/>
      <c r="D20" s="2" t="n"/>
    </row>
    <row r="21">
      <c r="A21" s="3" t="inlineStr">
        <is>
          <t>Notes</t>
        </is>
      </c>
      <c r="B21" s="2" t="n"/>
      <c r="C21" s="2" t="n"/>
      <c r="D21" s="2" t="n"/>
    </row>
    <row r="22">
      <c r="A22" s="2" t="inlineStr">
        <is>
          <t>Famille : abonnements = personnes actives ÷ membres actifs par famille, arrondi au-dessus.</t>
        </is>
      </c>
      <c r="B22" s="2" t="n"/>
      <c r="C22" s="2" t="n"/>
      <c r="D22" s="2" t="n"/>
    </row>
    <row r="23">
      <c r="A23" s="2" t="inlineStr">
        <is>
          <t>Pro : facturé à l'entreprise hors TVA (la TVA s'ajoute à la facture) ; pas de commission Google.</t>
        </is>
      </c>
      <c r="B23" s="2" t="n"/>
      <c r="C23" s="2" t="n"/>
      <c r="D23" s="2" t="n"/>
    </row>
    <row r="24">
      <c r="A24" s="2" t="inlineStr">
        <is>
          <t>Coûts fixes (salaires, publicité, socle Firebase…) non compris.</t>
        </is>
      </c>
      <c r="B24" s="2" t="n"/>
      <c r="C24" s="2" t="n"/>
      <c r="D24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Europe : marge pour DineroX, par mois (montants en euros)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15" t="inlineStr"/>
      <c r="B3" s="15" t="inlineStr">
        <is>
          <t>Plus</t>
        </is>
      </c>
      <c r="C3" s="15" t="inlineStr">
        <is>
          <t>Famille</t>
        </is>
      </c>
      <c r="D3" s="15" t="inlineStr">
        <is>
          <t>Pro</t>
        </is>
      </c>
    </row>
    <row r="4">
      <c r="A4" s="4" t="inlineStr">
        <is>
          <t>Personnes actives</t>
        </is>
      </c>
      <c r="B4" s="16">
        <f>Hypothèses!$B$28</f>
        <v/>
      </c>
      <c r="C4" s="16">
        <f>Hypothèses!$B$29</f>
        <v/>
      </c>
      <c r="D4" s="16">
        <f>Hypothèses!$C$38</f>
        <v/>
      </c>
    </row>
    <row r="5">
      <c r="A5" s="4" t="inlineStr">
        <is>
          <t>Abonnements (Pro : places payées)</t>
        </is>
      </c>
      <c r="B5" s="17">
        <f>B4</f>
        <v/>
      </c>
      <c r="C5" s="17">
        <f>ROUNDUP(C4/Hypothèses!$B$30,0)</f>
        <v/>
      </c>
      <c r="D5" s="17">
        <f>D4</f>
        <v/>
      </c>
    </row>
    <row r="6">
      <c r="A6" s="4" t="inlineStr">
        <is>
          <t>Entreprises clientes (Pro)</t>
        </is>
      </c>
      <c r="B6" s="17" t="n">
        <v>0</v>
      </c>
      <c r="C6" s="17" t="n">
        <v>0</v>
      </c>
      <c r="D6" s="16">
        <f>Hypothèses!$B$38</f>
        <v/>
      </c>
    </row>
    <row r="7">
      <c r="A7" s="4" t="inlineStr">
        <is>
          <t>Prix par abonnement ou par place</t>
        </is>
      </c>
      <c r="B7" s="22">
        <f>Hypothèses!$B$19</f>
        <v/>
      </c>
      <c r="C7" s="22">
        <f>Hypothèses!$B$20</f>
        <v/>
      </c>
      <c r="D7" s="22">
        <f>Hypothèses!$B$21</f>
        <v/>
      </c>
    </row>
    <row r="8">
      <c r="A8" s="4" t="inlineStr">
        <is>
          <t>Encaissé auprès des clients</t>
        </is>
      </c>
      <c r="B8" s="23">
        <f>B5*B7</f>
        <v/>
      </c>
      <c r="C8" s="23">
        <f>C5*C7</f>
        <v/>
      </c>
      <c r="D8" s="23">
        <f>D5*D7</f>
        <v/>
      </c>
    </row>
    <row r="9">
      <c r="A9" s="4" t="inlineStr">
        <is>
          <t>− TVA comprise dans le prix</t>
        </is>
      </c>
      <c r="B9" s="23">
        <f>B8-B8/(1+Hypothèses!$B$22)</f>
        <v/>
      </c>
      <c r="C9" s="23">
        <f>C8-C8/(1+Hypothèses!$B$22)</f>
        <v/>
      </c>
      <c r="D9" s="23" t="n">
        <v>0</v>
      </c>
    </row>
    <row r="10">
      <c r="A10" s="4" t="inlineStr">
        <is>
          <t>− Commission Google (15 %)</t>
        </is>
      </c>
      <c r="B10" s="23">
        <f>(B8-B9)*Hypothèses!$B$5</f>
        <v/>
      </c>
      <c r="C10" s="23">
        <f>(C8-C9)*Hypothèses!$B$5</f>
        <v/>
      </c>
      <c r="D10" s="23" t="n">
        <v>0</v>
      </c>
    </row>
    <row r="11">
      <c r="A11" s="4" t="inlineStr">
        <is>
          <t>− Frais de paiement</t>
        </is>
      </c>
      <c r="B11" s="23" t="n">
        <v>0</v>
      </c>
      <c r="C11" s="23" t="n">
        <v>0</v>
      </c>
      <c r="D11" s="23">
        <f>D8*Hypothèses!$B$23</f>
        <v/>
      </c>
    </row>
    <row r="12">
      <c r="A12" s="3">
        <f> Reçu par DineroX</f>
        <v/>
      </c>
      <c r="B12" s="24">
        <f>B8-B9-B10-B11</f>
        <v/>
      </c>
      <c r="C12" s="24">
        <f>C8-C9-C10-C11</f>
        <v/>
      </c>
      <c r="D12" s="24">
        <f>D8-D9-D10-D11</f>
        <v/>
      </c>
    </row>
    <row r="13">
      <c r="A13" s="4" t="inlineStr">
        <is>
          <t>− Coûts techniques (personnes actives)</t>
        </is>
      </c>
      <c r="B13" s="23">
        <f>B4*Hypothèses!$B$25</f>
        <v/>
      </c>
      <c r="C13" s="23">
        <f>C4*Hypothèses!$B$25</f>
        <v/>
      </c>
      <c r="D13" s="23">
        <f>D4*Hypothèses!$B$25</f>
        <v/>
      </c>
    </row>
    <row r="14">
      <c r="A14" s="4" t="inlineStr">
        <is>
          <t>− Coût de gestion des entreprises (Pro)</t>
        </is>
      </c>
      <c r="B14" s="23" t="n">
        <v>0</v>
      </c>
      <c r="C14" s="23" t="n">
        <v>0</v>
      </c>
      <c r="D14" s="23">
        <f>D6*Hypothèses!$B$24</f>
        <v/>
      </c>
    </row>
    <row r="15">
      <c r="A15" s="3">
        <f> Marge par mois</f>
        <v/>
      </c>
      <c r="B15" s="24">
        <f>B12-B13-B14</f>
        <v/>
      </c>
      <c r="C15" s="24">
        <f>C12-C13-C14</f>
        <v/>
      </c>
      <c r="D15" s="24">
        <f>D12-D13-D14</f>
        <v/>
      </c>
    </row>
    <row r="16">
      <c r="A16" s="4" t="inlineStr">
        <is>
          <t>Marge par abonnement ou par place</t>
        </is>
      </c>
      <c r="B16" s="23">
        <f>IF(B5=0,0,B15/B5)</f>
        <v/>
      </c>
      <c r="C16" s="23">
        <f>IF(C5=0,0,C15/C5)</f>
        <v/>
      </c>
      <c r="D16" s="23">
        <f>IF(D5=0,0,D15/D5)</f>
        <v/>
      </c>
    </row>
    <row r="17">
      <c r="A17" s="4" t="inlineStr">
        <is>
          <t>Marge par personne active</t>
        </is>
      </c>
      <c r="B17" s="23">
        <f>IF(B4=0,0,B15/B4)</f>
        <v/>
      </c>
      <c r="C17" s="23">
        <f>IF(C4=0,0,C15/C4)</f>
        <v/>
      </c>
      <c r="D17" s="23">
        <f>IF(D4=0,0,D15/D4)</f>
        <v/>
      </c>
    </row>
    <row r="18">
      <c r="A18" s="4" t="inlineStr">
        <is>
          <t>Part de l'encaissé qui reste en marge</t>
        </is>
      </c>
      <c r="B18" s="21">
        <f>IF(B8=0,0,B15/B8)</f>
        <v/>
      </c>
      <c r="C18" s="21">
        <f>IF(C8=0,0,C15/C8)</f>
        <v/>
      </c>
      <c r="D18" s="21">
        <f>IF(D8=0,0,D15/D8)</f>
        <v/>
      </c>
    </row>
    <row r="19">
      <c r="A19" s="3">
        <f> Marge sur un an</f>
        <v/>
      </c>
      <c r="B19" s="24">
        <f>B15*12</f>
        <v/>
      </c>
      <c r="C19" s="24">
        <f>C15*12</f>
        <v/>
      </c>
      <c r="D19" s="24">
        <f>D15*12</f>
        <v/>
      </c>
    </row>
    <row r="20">
      <c r="A20" s="2" t="n"/>
      <c r="B20" s="2" t="n"/>
      <c r="C20" s="2" t="n"/>
      <c r="D20" s="2" t="n"/>
    </row>
    <row r="21">
      <c r="A21" s="3" t="inlineStr">
        <is>
          <t>Notes</t>
        </is>
      </c>
      <c r="B21" s="2" t="n"/>
      <c r="C21" s="2" t="n"/>
      <c r="D21" s="2" t="n"/>
    </row>
    <row r="22">
      <c r="A22" s="2" t="inlineStr">
        <is>
          <t>Famille : abonnements = personnes actives ÷ membres actifs par famille, arrondi au-dessus.</t>
        </is>
      </c>
      <c r="B22" s="2" t="n"/>
      <c r="C22" s="2" t="n"/>
      <c r="D22" s="2" t="n"/>
    </row>
    <row r="23">
      <c r="A23" s="2" t="inlineStr">
        <is>
          <t>Pro : facturé à l'entreprise hors TVA (la TVA s'ajoute à la facture) ; pas de commission Google.</t>
        </is>
      </c>
      <c r="B23" s="2" t="n"/>
      <c r="C23" s="2" t="n"/>
      <c r="D23" s="2" t="n"/>
    </row>
    <row r="24">
      <c r="A24" s="2" t="inlineStr">
        <is>
          <t>Coûts fixes (salaires, publicité, socle Firebase…) non compris.</t>
        </is>
      </c>
      <c r="B24" s="2" t="n"/>
      <c r="C24" s="2" t="n"/>
      <c r="D24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</cols>
  <sheetData>
    <row r="1">
      <c r="A1" s="1" t="inlineStr">
        <is>
          <t>Formule Pro en Afrique : seuil de 5 ou de 10 employés (pour 1 000 employés)</t>
        </is>
      </c>
      <c r="B1" s="2" t="n"/>
      <c r="C1" s="2" t="n"/>
    </row>
    <row r="2">
      <c r="A2" s="2" t="inlineStr">
        <is>
          <t>Même gain par place ; seul change le coût de gestion, qui dépend du nombre d'entreprises.</t>
        </is>
      </c>
      <c r="B2" s="2" t="n"/>
      <c r="C2" s="2" t="n"/>
    </row>
    <row r="3">
      <c r="A3" s="2" t="n"/>
      <c r="B3" s="2" t="n"/>
      <c r="C3" s="2" t="n"/>
    </row>
    <row r="4">
      <c r="A4" s="11" t="inlineStr"/>
      <c r="B4" s="11" t="inlineStr">
        <is>
          <t>Seuil à 10</t>
        </is>
      </c>
      <c r="C4" s="11" t="inlineStr">
        <is>
          <t>Seuil à 5</t>
        </is>
      </c>
    </row>
    <row r="5">
      <c r="A5" s="2" t="inlineStr">
        <is>
          <t>Entreprises clientes (exemple de répartition)</t>
        </is>
      </c>
      <c r="B5" s="10" t="n">
        <v>60</v>
      </c>
      <c r="C5" s="16">
        <f>Hypothèses!B38</f>
        <v/>
      </c>
    </row>
    <row r="6">
      <c r="A6" s="2" t="inlineStr">
        <is>
          <t>Employés</t>
        </is>
      </c>
      <c r="B6" s="10" t="n">
        <v>1000</v>
      </c>
      <c r="C6" s="16">
        <f>Hypothèses!C38</f>
        <v/>
      </c>
    </row>
    <row r="7">
      <c r="A7" s="2" t="inlineStr">
        <is>
          <t>Reçu par DineroX (après frais de paiement)</t>
        </is>
      </c>
      <c r="B7" s="19">
        <f>B6*Hypothèses!$B$10*(1-Hypothèses!$B$12)</f>
        <v/>
      </c>
      <c r="C7" s="19">
        <f>C6*Hypothèses!$B$10*(1-Hypothèses!$B$12)</f>
        <v/>
      </c>
    </row>
    <row r="8">
      <c r="A8" s="2" t="inlineStr">
        <is>
          <t>− Coûts techniques</t>
        </is>
      </c>
      <c r="B8" s="19">
        <f>B6*(Hypothèses!$B$14+Hypothèses!$B$15+Hypothèses!$B$16)</f>
        <v/>
      </c>
      <c r="C8" s="19">
        <f>C6*(Hypothèses!$B$14+Hypothèses!$B$15+Hypothèses!$B$16)</f>
        <v/>
      </c>
    </row>
    <row r="9">
      <c r="A9" s="2" t="inlineStr">
        <is>
          <t>− Coût de gestion des entreprises</t>
        </is>
      </c>
      <c r="B9" s="19">
        <f>B5*Hypothèses!$B$13</f>
        <v/>
      </c>
      <c r="C9" s="19">
        <f>C5*Hypothèses!$B$13</f>
        <v/>
      </c>
    </row>
    <row r="10">
      <c r="A10" s="3">
        <f> Marge par mois</f>
        <v/>
      </c>
      <c r="B10" s="20">
        <f>B7-B8-B9</f>
        <v/>
      </c>
      <c r="C10" s="20">
        <f>C7-C8-C9</f>
        <v/>
      </c>
    </row>
    <row r="11">
      <c r="A11" s="2" t="inlineStr">
        <is>
          <t>Écart de marge du seuil à 5 par rapport au seuil à 10</t>
        </is>
      </c>
      <c r="B11" s="2" t="n"/>
      <c r="C11" s="25">
        <f>IF(B10=0,0,C10/B10-1)</f>
        <v/>
      </c>
    </row>
    <row r="12">
      <c r="A12" s="2" t="n"/>
      <c r="B12" s="2" t="n"/>
      <c r="C12" s="2" t="n"/>
    </row>
    <row r="13">
      <c r="A13" s="2" t="inlineStr">
        <is>
          <t>Lecture : le seuil à 5 coûte quelques pour cent de marge, mais ouvre la formule aux très nombreuses petites entreprises africaines.</t>
        </is>
      </c>
      <c r="B13" s="2" t="n"/>
      <c r="C13" s="2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2026-10-18T17:12:50Z</dcterms:created>
  <dcterms:modified xsi:type="dcterms:W3CDTF">2026-10-18T17:12:50Z</dcterms:modified>
</cp:coreProperties>
</file>